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f3debfaf0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t Cause Summary" sheetId="1" r:id="R7993e55b4f1a4f4b"/>
    <x:sheet xmlns:r="http://schemas.openxmlformats.org/officeDocument/2006/relationships" name="Detailed Observations" sheetId="2" r:id="Raa56e6a67fd244b5"/>
    <x:sheet xmlns:r="http://schemas.openxmlformats.org/officeDocument/2006/relationships" name="Impact Matrix" sheetId="3" r:id="Rbda4943ddd094028"/>
    <x:sheet xmlns:r="http://schemas.openxmlformats.org/officeDocument/2006/relationships" name="Reporting Guide" sheetId="4" r:id="Rd266d495ce0b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03864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3">
    <x:dxf>
      <x:fill>
        <x:patternFill patternType="solid">
          <x:bgColor rgb="FFC6EF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C6EFCE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d95d9779f4a43" /><Relationship Type="http://schemas.openxmlformats.org/officeDocument/2006/relationships/theme" Target="/xl/theme/theme1.xml" Id="R99b4987313c04086" /><Relationship Type="http://schemas.openxmlformats.org/officeDocument/2006/relationships/sharedStrings" Target="/xl/sharedStrings.xml" Id="Re2b2fc3d34d34d0c" /><Relationship Type="http://schemas.openxmlformats.org/officeDocument/2006/relationships/worksheet" Target="/xl/worksheets/sheet1.xml" Id="R7993e55b4f1a4f4b" /><Relationship Type="http://schemas.openxmlformats.org/officeDocument/2006/relationships/worksheet" Target="/xl/worksheets/sheet2.xml" Id="Raa56e6a67fd244b5" /><Relationship Type="http://schemas.openxmlformats.org/officeDocument/2006/relationships/worksheet" Target="/xl/worksheets/sheet3.xml" Id="Rbda4943ddd094028" /><Relationship Type="http://schemas.openxmlformats.org/officeDocument/2006/relationships/worksheet" Target="/xl/worksheets/sheet4.xml" Id="Rd266d495ce0b44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f8fc2085e047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Observations by Root-Cause Theme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Observation Count</c:v>
          </c:tx>
          <c:cat>
            <c:strRef>
              <c:f>'Root Cause Summary'!$J$10:$J$16</c:f>
              <c:strCache>
                <c:ptCount val="0"/>
              </c:strCache>
            </c:strRef>
          </c:cat>
          <c:val>
            <c:numRef>
              <c:f>'Root Cause Summary'!$K$10:$K$16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f8fc2085e047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otCauseTable" displayName="RootCauseTable" ref="A4:H12" headerRowCount="1" totalsRowCount="0" totalsRowShown="0">
  <x:tableColumns count="8">
    <x:tableColumn id="1" name="Root Cause ID"/>
    <x:tableColumn id="2" name="Root Cause Category"/>
    <x:tableColumn id="3" name="Pattern / Testing Observation"/>
    <x:tableColumn id="4" name="Domains"/>
    <x:tableColumn id="5" name="Impacted Tables / Columns"/>
    <x:tableColumn id="6" name="Root Cause Status"/>
    <x:tableColumn id="7" name="Decision / Next Action"/>
    <x:tableColumn id="8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bservationTable" displayName="ObservationTable" ref="A1:K20" headerRowCount="1" totalsRowCount="0" totalsRowShown="0">
  <x:tableColumns count="11">
    <x:tableColumn id="1" name="No"/>
    <x:tableColumn id="2" name="Root Cause Category"/>
    <x:tableColumn id="3" name="Domain"/>
    <x:tableColumn id="4" name="Table / View"/>
    <x:tableColumn id="5" name="Column(s)"/>
    <x:tableColumn id="6" name="Testing Observation"/>
    <x:tableColumn id="7" name="Observation Status"/>
    <x:tableColumn id="8" name="Root Cause Status"/>
    <x:tableColumn id="9" name="Comments / Evidence"/>
    <x:tableColumn id="10" name="Original Issue Segment"/>
    <x:tableColumn id="11" name="Action Requir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actMatrixTable" displayName="ImpactMatrixTable" ref="A1:H20" headerRowCount="1" totalsRowCount="0" totalsRowShown="0">
  <x:tableColumns count="8">
    <x:tableColumn id="1" name="Root Cause Category"/>
    <x:tableColumn id="2" name="Domain"/>
    <x:tableColumn id="3" name="Impacted Table / View"/>
    <x:tableColumn id="4" name="Impacted Column(s)"/>
    <x:tableColumn id="5" name="Observation Status"/>
    <x:tableColumn id="6" name="Root Cause Status"/>
    <x:tableColumn id="7" name="Action Required"/>
    <x:tableColumn id="8" name="Source Issue 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b106669b2a476c" /><Relationship Type="http://schemas.openxmlformats.org/officeDocument/2006/relationships/table" Target="/xl/tables/table1.xml" Id="R464434548f944e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f6c5e59df948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99d41a9c22469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5" hidden="0" customWidth="1"/>
    <x:col min="4" max="4" width="25" hidden="0" customWidth="1"/>
    <x:col min="5" max="5" width="48" hidden="0" customWidth="1"/>
    <x:col min="6" max="6" width="26" hidden="0" customWidth="1"/>
    <x:col min="7" max="7" width="48" hidden="0" customWidth="1"/>
    <x:col min="8" max="8" width="12" hidden="0" customWidth="1"/>
    <x:col min="10" max="10" width="26" hidden="0" customWidth="1"/>
    <x:col min="11" max="11" width="14" hidden="0" customWidth="1"/>
  </x:cols>
  <x:sheetData>
    <x:row r="1">
      <x:c r="A1" s="5" t="str">
        <x:v>CDA vs Read Replica Reconciliation – Root Cause Summary</x:v>
      </x:c>
      <x:c r="B1" s="5"/>
      <x:c r="C1" s="5"/>
      <x:c r="D1" s="5"/>
      <x:c r="E1" s="5"/>
      <x:c r="F1" s="5"/>
      <x:c r="G1" s="5"/>
      <x:c r="H1" s="5"/>
      <x:c r="J1" s="17" t="str">
        <x:v>Test Reporting KPIs</x:v>
      </x:c>
      <x:c r="K1" s="17"/>
    </x:row>
    <x:row r="2">
      <x:c r="A2" s="12" t="str">
        <x:v>Management view: consolidate repeated observations under common root causes; keep individual table/column evidence in Detailed Observations.</x:v>
      </x:c>
      <x:c r="B2" s="12"/>
      <x:c r="C2" s="12"/>
      <x:c r="D2" s="12"/>
      <x:c r="E2" s="12"/>
      <x:c r="F2" s="12"/>
      <x:c r="G2" s="12"/>
      <x:c r="H2" s="12"/>
      <x:c r="J2" s="20" t="str">
        <x:v>Total observations</x:v>
      </x:c>
      <x:c r="K2" s="20" t="n">
        <x:f>COUNTA('Detailed Observations'!A2:A100)</x:f>
        <x:v>19</x:v>
      </x:c>
    </x:row>
    <x:row r="3">
      <x:c r="J3" s="20" t="str">
        <x:v>Root-cause themes</x:v>
      </x:c>
      <x:c r="K3" s="20" t="n">
        <x:f>COUNTA(A5:A12)</x:f>
        <x:v>8</x:v>
      </x:c>
    </x:row>
    <x:row r="4">
      <x:c r="A4" s="32" t="str">
        <x:v>Root Cause ID</x:v>
      </x:c>
      <x:c r="B4" s="32" t="str">
        <x:v>Root Cause Category</x:v>
      </x:c>
      <x:c r="C4" s="32" t="str">
        <x:v>Pattern / Testing Observation</x:v>
      </x:c>
      <x:c r="D4" s="32" t="str">
        <x:v>Domains</x:v>
      </x:c>
      <x:c r="E4" s="32" t="str">
        <x:v>Impacted Tables / Columns</x:v>
      </x:c>
      <x:c r="F4" s="32" t="str">
        <x:v>Root Cause Status</x:v>
      </x:c>
      <x:c r="G4" s="32" t="str">
        <x:v>Decision / Next Action</x:v>
      </x:c>
      <x:c r="H4" s="32" t="str">
        <x:v>Priority</x:v>
      </x:c>
      <x:c r="J4" s="20" t="str">
        <x:v>Design confirmations</x:v>
      </x:c>
      <x:c r="K4" s="20" t="n">
        <x:f>COUNTIF(F5:F12,"*Design Confirmation*")</x:f>
        <x:v>0</x:v>
      </x:c>
    </x:row>
    <x:row r="5">
      <x:c r="A5" s="27" t="str">
        <x:v>RC01</x:v>
      </x:c>
      <x:c r="B5" s="27" t="str">
        <x:v>Payload / Debris value handling</x:v>
      </x:c>
      <x:c r="C5" s="27" t="str">
        <x:v>Same payload/XML representation issue appears across multiple tables/columns. Individual fixes should not close the root cause until generic coverage is proven.</x:v>
      </x:c>
      <x:c r="D5" s="27" t="str">
        <x:v>PolicyCenter, ClaimCenter</x:v>
      </x:c>
      <x:c r="E5" s="27" t="str">
        <x:v>pcx_cfmdocumentrequest_ext.cfmrequestpayload; pc_policyperiod.paymentoptions_ext; pc_policyperiod.instalmentplansxml_ext; ccx_inbounddatasourcerec_ext.payload; ccx_notrequest_ext.payload</x:v>
      </x:c>
      <x:c r="F5" s="27" t="str">
        <x:v>Partially Fixed</x:v>
      </x:c>
      <x:c r="G5" s="27" t="str">
        <x:v>Confirm generic fix scope and regression across all payload/XML-like columns.</x:v>
      </x:c>
      <x:c r="H5" s="27" t="str">
        <x:v>High</x:v>
      </x:c>
      <x:c r="J5" s="20" t="str">
        <x:v>Partially fixed themes</x:v>
      </x:c>
      <x:c r="K5" s="20" t="n">
        <x:f>COUNTIF(F5:F12,"*Partially Fixed*")</x:f>
        <x:v>0</x:v>
      </x:c>
    </x:row>
    <x:row r="6">
      <x:c r="A6" s="27" t="str">
        <x:v>RC02</x:v>
      </x:c>
      <x:c r="B6" s="27" t="str">
        <x:v>RR / Source synchronisation</x:v>
      </x:c>
      <x:c r="C6" s="27" t="str">
        <x:v>CDA aligns with current GW source while Read Replica contains stale/different population or values.</x:v>
      </x:c>
      <x:c r="D6" s="27" t="str">
        <x:v>ClaimCenter + cross-domain history</x:v>
      </x:c>
      <x:c r="E6" s="27" t="str">
        <x:v>ccx_modulespecificdata_ext; cc_claimmetricrecalctime; cc_history/bc_history/pc_history; cc_claiminfo</x:v>
      </x:c>
      <x:c r="F6" s="27" t="str">
        <x:v>Open - RR investigation</x:v>
      </x:c>
      <x:c r="G6" s="27" t="str">
        <x:v>Confirm RR refresh/sync mechanism and comparison baseline.</x:v>
      </x:c>
      <x:c r="H6" s="27" t="str">
        <x:v>High</x:v>
      </x:c>
      <x:c r="J6" s="20" t="str">
        <x:v>Open/Investigating themes</x:v>
      </x:c>
      <x:c r="K6" s="20" t="n">
        <x:f>COUNTIF(F5:F12,"*Open*")+COUNTIF(F5:F12,"*Investigation*")+COUNTIF(F5:F12,"*Mixed*")</x:f>
        <x:v>0</x:v>
      </x:c>
    </x:row>
    <x:row r="7">
      <x:c r="A7" s="27" t="str">
        <x:v>RC03</x:v>
      </x:c>
      <x:c r="B7" s="27" t="str">
        <x:v>Delete behaviour difference</x:v>
      </x:c>
      <x:c r="C7" s="27" t="str">
        <x:v>RR has no explicit GWCBI delete operation; CDA receives operation=1 and can remove records from current view.</x:v>
      </x:c>
      <x:c r="D7" s="27" t="str">
        <x:v>ClaimCenter</x:v>
      </x:c>
      <x:c r="E7" s="27" t="str">
        <x:v>cc_history IDs 144107,144108; DWH_CURRENT_FLAG; current-view membership</x:v>
      </x:c>
      <x:c r="F7" s="27" t="str">
        <x:v>Design Confirmation Required</x:v>
      </x:c>
      <x:c r="G7" s="27" t="str">
        <x:v>Downstream/design sign-off on current flag, view visibility and reconciliation treatment.</x:v>
      </x:c>
      <x:c r="H7" s="27" t="str">
        <x:v>High</x:v>
      </x:c>
    </x:row>
    <x:row r="8">
      <x:c r="A8" s="27" t="str">
        <x:v>RC04</x:v>
      </x:c>
      <x:c r="B8" s="27" t="str">
        <x:v>Spatial / Datatype representation</x:v>
      </x:c>
      <x:c r="C8" s="27" t="str">
        <x:v>Datatype/representation differences including spatial and boolean fields.</x:v>
      </x:c>
      <x:c r="D8" s="27" t="str">
        <x:v>PolicyCenter, BillingCenter, ClaimCenter</x:v>
      </x:c>
      <x:c r="E8" s="27" t="str">
        <x:v>address spatial columns; ccx_analyticshistory_ext.ratingoverridden/beanversion</x:v>
      </x:c>
      <x:c r="F8" s="27" t="str">
        <x:v>Mostly Accepted / Deprioritised</x:v>
      </x:c>
      <x:c r="G8" s="27" t="str">
        <x:v>Retain evidence; confirm no downstream consumers for deprioritised fields.</x:v>
      </x:c>
      <x:c r="H8" s="27" t="str">
        <x:v>Low</x:v>
      </x:c>
    </x:row>
    <x:row r="9">
      <x:c r="A9" s="27" t="str">
        <x:v>RC05</x:v>
      </x:c>
      <x:c r="B9" s="27" t="str">
        <x:v>Count / Population difference</x:v>
      </x:c>
      <x:c r="C9" s="27" t="str">
        <x:v>Current-view counts differ due to source sync, filters, deletion behaviour, or unresolved population differences.</x:v>
      </x:c>
      <x:c r="D9" s="27" t="str">
        <x:v>PolicyCenter, BillingCenter, ClaimCenter</x:v>
      </x:c>
      <x:c r="E9" s="27" t="str">
        <x:v>pc_history; bc_history; pcx_ratingfactoreffdated_ext; ccx_analyticshistory_ext</x:v>
      </x:c>
      <x:c r="F9" s="27" t="str">
        <x:v>Mixed</x:v>
      </x:c>
      <x:c r="G9" s="27" t="str">
        <x:v>Classify each mismatch by proven cause; avoid treating all count differences as one defect.</x:v>
      </x:c>
      <x:c r="H9" s="27" t="str">
        <x:v>Medium</x:v>
      </x:c>
      <x:c r="J9" t="str">
        <x:v>Category</x:v>
      </x:c>
      <x:c r="K9" t="str">
        <x:v>Observation Count</x:v>
      </x:c>
    </x:row>
    <x:row r="10">
      <x:c r="A10" s="27" t="str">
        <x:v>RC06</x:v>
      </x:c>
      <x:c r="B10" s="27" t="str">
        <x:v>Schema drift / Baseline difference</x:v>
      </x:c>
      <x:c r="C10" s="27" t="str">
        <x:v>CDA reflects current GW schema while RR comparison schema may not be refreshed.</x:v>
      </x:c>
      <x:c r="D10" s="27" t="str">
        <x:v>ClaimCenter</x:v>
      </x:c>
      <x:c r="E10" s="27" t="str">
        <x:v>cc_claim_cda schema</x:v>
      </x:c>
      <x:c r="F10" s="27" t="str">
        <x:v>Design Confirmation Required</x:v>
      </x:c>
      <x:c r="G10" s="27" t="str">
        <x:v>Agree authoritative schema baseline and RR refresh requirement.</x:v>
      </x:c>
      <x:c r="H10" s="27" t="str">
        <x:v>High</x:v>
      </x:c>
      <x:c r="J10" t="str">
        <x:v>Payload / Debris</x:v>
      </x:c>
      <x:c r="K10" t="n">
        <x:v>5</x:v>
      </x:c>
    </x:row>
    <x:row r="11">
      <x:c r="A11" s="27" t="str">
        <x:v>RC07</x:v>
      </x:c>
      <x:c r="B11" s="27" t="str">
        <x:v>Load / Refresh synchronisation</x:v>
      </x:c>
      <x:c r="C11" s="27" t="str">
        <x:v>Temporary load timing caused missing CDA population during testing.</x:v>
      </x:c>
      <x:c r="D11" s="27" t="str">
        <x:v>ClaimCenter</x:v>
      </x:c>
      <x:c r="E11" s="27" t="str">
        <x:v>cc_claim</x:v>
      </x:c>
      <x:c r="F11" s="27" t="str">
        <x:v>Closed</x:v>
      </x:c>
      <x:c r="G11" s="27" t="str">
        <x:v>Keep separate from persistent source-sync defects.</x:v>
      </x:c>
      <x:c r="H11" s="27" t="str">
        <x:v>Low</x:v>
      </x:c>
      <x:c r="J11" t="str">
        <x:v>RR / Source Sync</x:v>
      </x:c>
      <x:c r="K11" t="n">
        <x:v>5</x:v>
      </x:c>
    </x:row>
    <x:row r="12">
      <x:c r="A12" s="27" t="str">
        <x:v>RC08</x:v>
      </x:c>
      <x:c r="B12" s="27" t="str">
        <x:v>Downstream-unused field difference</x:v>
      </x:c>
      <x:c r="C12" s="27" t="str">
        <x:v>Difference exists but field is confirmed unused downstream.</x:v>
      </x:c>
      <x:c r="D12" s="27" t="str">
        <x:v>ClaimCenter</x:v>
      </x:c>
      <x:c r="E12" s="27" t="str">
        <x:v>ccx_cda_cmf_message_ext.accidenttime</x:v>
      </x:c>
      <x:c r="F12" s="27" t="str">
        <x:v>Accepted / Deprioritised</x:v>
      </x:c>
      <x:c r="G12" s="27" t="str">
        <x:v>Maintain downstream-owner evidence for acceptance.</x:v>
      </x:c>
      <x:c r="H12" s="27" t="str">
        <x:v>Low</x:v>
      </x:c>
      <x:c r="J12" t="str">
        <x:v>Delete Behaviour</x:v>
      </x:c>
      <x:c r="K12" t="n">
        <x:v>1</x:v>
      </x:c>
    </x:row>
    <x:row r="13">
      <x:c r="J13" t="str">
        <x:v>Datatype / Spatial</x:v>
      </x:c>
      <x:c r="K13" t="n">
        <x:v>2</x:v>
      </x:c>
    </x:row>
    <x:row r="14">
      <x:c r="J14" t="str">
        <x:v>Count / Population</x:v>
      </x:c>
      <x:c r="K14" t="n">
        <x:v>4</x:v>
      </x:c>
    </x:row>
    <x:row r="15">
      <x:c r="J15" t="str">
        <x:v>Schema Drift</x:v>
      </x:c>
      <x:c r="K15" t="n">
        <x:v>1</x:v>
      </x:c>
    </x:row>
    <x:row r="16">
      <x:c r="J16" t="str">
        <x:v>Load / Refresh</x:v>
      </x:c>
      <x:c r="K16" t="n">
        <x:v>1</x:v>
      </x:c>
    </x:row>
  </x:sheetData>
  <x:mergeCells>
    <x:mergeCell ref="A1:H1"/>
    <x:mergeCell ref="A2:H2"/>
    <x:mergeCell ref="J1:K1"/>
  </x:mergeCells>
  <x:conditionalFormatting sqref="F5:F12">
    <x:cfRule type="expression" dxfId="0" priority="1">
      <x:formula>ISNUMBER(SEARCH("Closed",F5))</x:formula>
    </x:cfRule>
    <x:cfRule type="expression" dxfId="3" priority="2">
      <x:formula>ISNUMBER(SEARCH("Design",F5))</x:formula>
    </x:cfRule>
    <x:cfRule type="expression" dxfId="4" priority="3">
      <x:formula>ISNUMBER(SEARCH("Partially",F5))</x:formula>
    </x:cfRule>
    <x:cfRule type="expression" dxfId="5" priority="4">
      <x:formula>OR(ISNUMBER(SEARCH("Open",F5)),ISNUMBER(SEARCH("Investigation",F5)),F5="Mixed")</x:formula>
    </x:cfRule>
  </x:conditionalFormatting>
  <x:pageMargins left="0.7" right="0.7" top="0.75" bottom="0.75" header="0.3" footer="0.3"/>
  <x:drawing xmlns:r="http://schemas.openxmlformats.org/officeDocument/2006/relationships" r:id="R57b106669b2a476c"/>
  <x:tableParts count="1">
    <x:tablePart xmlns:r="http://schemas.openxmlformats.org/officeDocument/2006/relationships" r:id="R464434548f944e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22" hidden="0" customWidth="1"/>
    <x:col min="4" max="4" width="44" hidden="0" customWidth="1"/>
    <x:col min="5" max="5" width="32" hidden="0" customWidth="1"/>
    <x:col min="6" max="6" width="48" hidden="0" customWidth="1"/>
    <x:col min="7" max="7" width="20" hidden="0" customWidth="1"/>
    <x:col min="8" max="8" width="28" hidden="0" customWidth="1"/>
    <x:col min="9" max="9" width="48" hidden="0" customWidth="1"/>
    <x:col min="10" max="10" width="24" hidden="0" customWidth="1"/>
    <x:col min="11" max="11" width="15" hidden="0" customWidth="1"/>
  </x:cols>
  <x:sheetData>
    <x:row r="1">
      <x:c r="A1" s="32" t="str">
        <x:v>No</x:v>
      </x:c>
      <x:c r="B1" s="32" t="str">
        <x:v>Root Cause Category</x:v>
      </x:c>
      <x:c r="C1" s="32" t="str">
        <x:v>Domain</x:v>
      </x:c>
      <x:c r="D1" s="32" t="str">
        <x:v>Table / View</x:v>
      </x:c>
      <x:c r="E1" s="32" t="str">
        <x:v>Column(s)</x:v>
      </x:c>
      <x:c r="F1" s="32" t="str">
        <x:v>Testing Observation</x:v>
      </x:c>
      <x:c r="G1" s="32" t="str">
        <x:v>Observation Status</x:v>
      </x:c>
      <x:c r="H1" s="32" t="str">
        <x:v>Root Cause Status</x:v>
      </x:c>
      <x:c r="I1" s="32" t="str">
        <x:v>Comments / Evidence</x:v>
      </x:c>
      <x:c r="J1" s="32" t="str">
        <x:v>Original Issue Segment</x:v>
      </x:c>
      <x:c r="K1" s="32" t="str">
        <x:v>Action Required</x:v>
      </x:c>
    </x:row>
    <x:row r="2">
      <x:c r="A2" s="27" t="n">
        <x:v>1</x:v>
      </x:c>
      <x:c r="B2" s="27" t="str">
        <x:v>Datatype / Boolean representation</x:v>
      </x:c>
      <x:c r="C2" s="27" t="str">
        <x:v>ClaimCenter</x:v>
      </x:c>
      <x:c r="D2" s="27" t="str">
        <x:v>vw_claimcenter_current_ccx_analyticshistory_ext_cda</x:v>
      </x:c>
      <x:c r="E2" s="27" t="str">
        <x:v>ratingoverridden, beanversion</x:v>
      </x:c>
      <x:c r="F2" s="27" t="str">
        <x:v>Different values observed between RR and CDA; PgAdmin source aligns with CDA representation.</x:v>
      </x:c>
      <x:c r="G2" s="27" t="str">
        <x:v>Closed</x:v>
      </x:c>
      <x:c r="H2" s="27" t="str">
        <x:v>Accepted / Closed</x:v>
      </x:c>
      <x:c r="I2" s="27" t="str">
        <x:v>PgAdmin beanversion=1 and ratingoverridden=false matches CDA 1 and 0.</x:v>
      </x:c>
      <x:c r="J2" s="27" t="str">
        <x:v>Datatype Issue</x:v>
      </x:c>
      <x:c r="K2" s="27" t="str">
        <x:v>No</x:v>
      </x:c>
    </x:row>
    <x:row r="3">
      <x:c r="A3" s="27" t="n">
        <x:v>2</x:v>
      </x:c>
      <x:c r="B3" s="27" t="str">
        <x:v>RR / Source synchronisation</x:v>
      </x:c>
      <x:c r="C3" s="27" t="str">
        <x:v>ClaimCenter</x:v>
      </x:c>
      <x:c r="D3" s="27" t="str">
        <x:v>vw_claimcenter_current_ccx_modulespecificdata_ext</x:v>
      </x:c>
      <x:c r="E3" s="27" t="str"/>
      <x:c r="F3" s="27" t="str">
        <x:v>Read Replica returning zero records since 25-Aug / source alignment difference.</x:v>
      </x:c>
      <x:c r="G3" s="27" t="str">
        <x:v>Manual Review</x:v>
      </x:c>
      <x:c r="H3" s="27" t="str">
        <x:v>Open - RR investigation</x:v>
      </x:c>
      <x:c r="I3" s="27" t="str">
        <x:v>CDA is in sync with GW systems. RR needs investigation/fix.</x:v>
      </x:c>
      <x:c r="J3" s="27" t="str">
        <x:v>Sync up Issue</x:v>
      </x:c>
      <x:c r="K3" s="27" t="str">
        <x:v>Yes</x:v>
      </x:c>
    </x:row>
    <x:row r="4">
      <x:c r="A4" s="27" t="n">
        <x:v>3</x:v>
      </x:c>
      <x:c r="B4" s="27" t="str">
        <x:v>Payload / Debris value handling</x:v>
      </x:c>
      <x:c r="C4" s="27" t="str">
        <x:v>PolicyCenter</x:v>
      </x:c>
      <x:c r="D4" s="27" t="str">
        <x:v>vw_policycenter_current_pcx_cfmdocumentrequest_ext</x:v>
      </x:c>
      <x:c r="E4" s="27" t="str">
        <x:v>cfmrequestpayload</x:v>
      </x:c>
      <x:c r="F4" s="27" t="str">
        <x:v>RR has expected payload message; CDA showed debris value.</x:v>
      </x:c>
      <x:c r="G4" s="27" t="str">
        <x:v>Closed</x:v>
      </x:c>
      <x:c r="H4" s="27" t="str">
        <x:v>Partially Fixed</x:v>
      </x:c>
      <x:c r="I4" s="27" t="str">
        <x:v>Individual observation closed, but same payload/debris pattern exists on other columns.</x:v>
      </x:c>
      <x:c r="J4" s="27" t="str">
        <x:v>Fixed</x:v>
      </x:c>
      <x:c r="K4" s="27" t="str">
        <x:v>Yes</x:v>
      </x:c>
    </x:row>
    <x:row r="5">
      <x:c r="A5" s="27" t="n">
        <x:v>4</x:v>
      </x:c>
      <x:c r="B5" s="27" t="str">
        <x:v>Payload / Debris value handling</x:v>
      </x:c>
      <x:c r="C5" s="27" t="str">
        <x:v>PolicyCenter</x:v>
      </x:c>
      <x:c r="D5" s="27" t="str">
        <x:v>vw_policycenter_current_pc_policyperiod_cda</x:v>
      </x:c>
      <x:c r="E5" s="27" t="str">
        <x:v>paymentoptions_ext</x:v>
      </x:c>
      <x:c r="F5" s="27" t="str">
        <x:v>RR has expected payload message; CDA showed debris value.</x:v>
      </x:c>
      <x:c r="G5" s="27" t="str">
        <x:v>Closed</x:v>
      </x:c>
      <x:c r="H5" s="27" t="str">
        <x:v>Partially Fixed</x:v>
      </x:c>
      <x:c r="I5" s="27" t="str">
        <x:v>Fixed by Simon; instalmentplansxml_ext falls in the same debris-value pattern.</x:v>
      </x:c>
      <x:c r="J5" s="27" t="str">
        <x:v>Fixed</x:v>
      </x:c>
      <x:c r="K5" s="27" t="str">
        <x:v>Yes</x:v>
      </x:c>
    </x:row>
    <x:row r="6">
      <x:c r="A6" s="27" t="n">
        <x:v>5</x:v>
      </x:c>
      <x:c r="B6" s="27" t="str">
        <x:v>Payload / Debris value handling</x:v>
      </x:c>
      <x:c r="C6" s="27" t="str">
        <x:v>PolicyCenter</x:v>
      </x:c>
      <x:c r="D6" s="27" t="str">
        <x:v>vw_policycenter_current_pc_policyperiod_cda</x:v>
      </x:c>
      <x:c r="E6" s="27" t="str">
        <x:v>instalmentplansxml_ext</x:v>
      </x:c>
      <x:c r="F6" s="27" t="str">
        <x:v>Same debris-value pattern identified on another column after paymentoptions_ext fix.</x:v>
      </x:c>
      <x:c r="G6" s="27" t="str">
        <x:v>Open / Follow-up</x:v>
      </x:c>
      <x:c r="H6" s="27" t="str">
        <x:v>Partially Fixed</x:v>
      </x:c>
      <x:c r="I6" s="27" t="str">
        <x:v>Requires confirmation that generic fix covers all affected payload/XML columns.</x:v>
      </x:c>
      <x:c r="J6" s="27" t="str">
        <x:v>Fixed</x:v>
      </x:c>
      <x:c r="K6" s="27" t="str">
        <x:v>Yes</x:v>
      </x:c>
    </x:row>
    <x:row r="7">
      <x:c r="A7" s="27" t="n">
        <x:v>6</x:v>
      </x:c>
      <x:c r="B7" s="27" t="str">
        <x:v>Payload / Debris value handling</x:v>
      </x:c>
      <x:c r="C7" s="27" t="str">
        <x:v>ClaimCenter</x:v>
      </x:c>
      <x:c r="D7" s="27" t="str">
        <x:v>vw_claimcenter_current_ccx_inbounddatasourcerec_ext_cda</x:v>
      </x:c>
      <x:c r="E7" s="27" t="str">
        <x:v>payload</x:v>
      </x:c>
      <x:c r="F7" s="27" t="str">
        <x:v>RR has proper payload message; CDA has debris value.</x:v>
      </x:c>
      <x:c r="G7" s="27" t="str">
        <x:v>Closed</x:v>
      </x:c>
      <x:c r="H7" s="27" t="str">
        <x:v>Partially Fixed</x:v>
      </x:c>
      <x:c r="I7" s="27" t="str">
        <x:v>Fixed by Simon; retest required / verify generic coverage.</x:v>
      </x:c>
      <x:c r="J7" s="27" t="str">
        <x:v>Fixed</x:v>
      </x:c>
      <x:c r="K7" s="27" t="str">
        <x:v>Yes</x:v>
      </x:c>
    </x:row>
    <x:row r="8">
      <x:c r="A8" s="27" t="n">
        <x:v>7</x:v>
      </x:c>
      <x:c r="B8" s="27" t="str">
        <x:v>Payload / Debris value handling</x:v>
      </x:c>
      <x:c r="C8" s="27" t="str">
        <x:v>ClaimCenter</x:v>
      </x:c>
      <x:c r="D8" s="27" t="str">
        <x:v>vw_claimcenter_current_ccx_notrequest_ext_cda</x:v>
      </x:c>
      <x:c r="E8" s="27" t="str">
        <x:v>payload</x:v>
      </x:c>
      <x:c r="F8" s="27" t="str">
        <x:v>CDA debris-value issue observed.</x:v>
      </x:c>
      <x:c r="G8" s="27" t="str">
        <x:v>Closed</x:v>
      </x:c>
      <x:c r="H8" s="27" t="str">
        <x:v>Partially Fixed</x:v>
      </x:c>
      <x:c r="I8" s="27" t="str">
        <x:v>Same root-cause family; retain under root cause until population coverage confirmed.</x:v>
      </x:c>
      <x:c r="J8" s="27" t="str">
        <x:v>Fixed</x:v>
      </x:c>
      <x:c r="K8" s="27" t="str">
        <x:v>Yes</x:v>
      </x:c>
    </x:row>
    <x:row r="9">
      <x:c r="A9" s="27" t="n">
        <x:v>8</x:v>
      </x:c>
      <x:c r="B9" s="27" t="str">
        <x:v>RR / Source synchronisation</x:v>
      </x:c>
      <x:c r="C9" s="27" t="str">
        <x:v>ClaimCenter</x:v>
      </x:c>
      <x:c r="D9" s="27" t="str">
        <x:v>vw_claimcenter_current_cc_claimmetricrecalctime_cda</x:v>
      </x:c>
      <x:c r="E9" s="27" t="str"/>
      <x:c r="F9" s="27" t="str">
        <x:v>CDA aligned with GW source; RR differs.</x:v>
      </x:c>
      <x:c r="G9" s="27" t="str">
        <x:v>Manual Review</x:v>
      </x:c>
      <x:c r="H9" s="27" t="str">
        <x:v>Open - RR investigation</x:v>
      </x:c>
      <x:c r="I9" s="27" t="str">
        <x:v>CDA is in sync with GW systems. RR needs investigation/fix.</x:v>
      </x:c>
      <x:c r="J9" s="27" t="str">
        <x:v>Sync up Issue</x:v>
      </x:c>
      <x:c r="K9" s="27" t="str">
        <x:v>Yes</x:v>
      </x:c>
    </x:row>
    <x:row r="10">
      <x:c r="A10" s="27" t="n">
        <x:v>9</x:v>
      </x:c>
      <x:c r="B10" s="27" t="str">
        <x:v>Load / Refresh synchronisation</x:v>
      </x:c>
      <x:c r="C10" s="27" t="str">
        <x:v>ClaimCenter</x:v>
      </x:c>
      <x:c r="D10" s="27" t="str">
        <x:v>vw_claimcenter_current_cc_claim</x:v>
      </x:c>
      <x:c r="E10" s="27" t="str"/>
      <x:c r="F10" s="27" t="str">
        <x:v>CDA had not loaded at point of test.</x:v>
      </x:c>
      <x:c r="G10" s="27" t="str">
        <x:v>Closed</x:v>
      </x:c>
      <x:c r="H10" s="27" t="str">
        <x:v>Closed</x:v>
      </x:c>
      <x:c r="I10" s="27" t="str">
        <x:v>Loaded; refresh query and rerun data validation.</x:v>
      </x:c>
      <x:c r="J10" s="27" t="str">
        <x:v>Sync up Issue</x:v>
      </x:c>
      <x:c r="K10" s="27" t="str">
        <x:v>No</x:v>
      </x:c>
    </x:row>
    <x:row r="11">
      <x:c r="A11" s="27" t="n">
        <x:v>10</x:v>
      </x:c>
      <x:c r="B11" s="27" t="str">
        <x:v>Count / Population difference</x:v>
      </x:c>
      <x:c r="C11" s="27" t="str">
        <x:v>PolicyCenter</x:v>
      </x:c>
      <x:c r="D11" s="27" t="str">
        <x:v>vw_policycenter_current_pc_history</x:v>
      </x:c>
      <x:c r="E11" s="27" t="str"/>
      <x:c r="F11" s="27" t="str">
        <x:v>Total count differs between RR and CDA.</x:v>
      </x:c>
      <x:c r="G11" s="27" t="str">
        <x:v>Closed</x:v>
      </x:c>
      <x:c r="H11" s="27" t="str">
        <x:v>Monitor / Accepted tolerance</x:v>
      </x:c>
      <x:c r="I11" s="27" t="str">
        <x:v>CDA count slightly lower than RR; populations closely aligned.</x:v>
      </x:c>
      <x:c r="J11" s="27" t="str">
        <x:v>Sync up Issue</x:v>
      </x:c>
      <x:c r="K11" s="27" t="str">
        <x:v>No</x:v>
      </x:c>
    </x:row>
    <x:row r="12">
      <x:c r="A12" s="27" t="n">
        <x:v>11</x:v>
      </x:c>
      <x:c r="B12" s="27" t="str">
        <x:v>Count / Population difference</x:v>
      </x:c>
      <x:c r="C12" s="27" t="str">
        <x:v>BillingCenter</x:v>
      </x:c>
      <x:c r="D12" s="27" t="str">
        <x:v>vw_billingcenter_current_bc_history</x:v>
      </x:c>
      <x:c r="E12" s="27" t="str"/>
      <x:c r="F12" s="27" t="str">
        <x:v>Total count differs between RR and CDA.</x:v>
      </x:c>
      <x:c r="G12" s="27" t="str">
        <x:v>Closed</x:v>
      </x:c>
      <x:c r="H12" s="27" t="str">
        <x:v>Monitor / Accepted tolerance</x:v>
      </x:c>
      <x:c r="I12" s="27" t="str">
        <x:v>CDA count slightly lower than RR; populations closely aligned.</x:v>
      </x:c>
      <x:c r="J12" s="27" t="str">
        <x:v>Sync up Issue</x:v>
      </x:c>
      <x:c r="K12" s="27" t="str">
        <x:v>No</x:v>
      </x:c>
    </x:row>
    <x:row r="13">
      <x:c r="A13" s="27" t="n">
        <x:v>12</x:v>
      </x:c>
      <x:c r="B13" s="27" t="str">
        <x:v>Spatial / Datatype representation</x:v>
      </x:c>
      <x:c r="C13" s="27" t="str">
        <x:v>PolicyCenter / BillingCenter / ClaimCenter</x:v>
      </x:c>
      <x:c r="D13" s="27" t="str">
        <x:v>vw_*_current_*_address</x:v>
      </x:c>
      <x:c r="E13" s="27" t="str">
        <x:v>Spatial column(s)</x:v>
      </x:c>
      <x:c r="F13" s="27" t="str">
        <x:v>RR holds NULL while CDA holds structured/null representation for spatial data.</x:v>
      </x:c>
      <x:c r="G13" s="27" t="str">
        <x:v>Closed</x:v>
      </x:c>
      <x:c r="H13" s="27" t="str">
        <x:v>Accepted / Deprioritised</x:v>
      </x:c>
      <x:c r="I13" s="27" t="str">
        <x:v>Spatial column is no longer used in downstream processes and can be deprioritised.</x:v>
      </x:c>
      <x:c r="J13" s="27" t="str">
        <x:v>Datatype Issue</x:v>
      </x:c>
      <x:c r="K13" s="27" t="str">
        <x:v>No</x:v>
      </x:c>
    </x:row>
    <x:row r="14">
      <x:c r="A14" s="27" t="n">
        <x:v>13</x:v>
      </x:c>
      <x:c r="B14" s="27" t="str">
        <x:v>Datatype / Downstream-unused field</x:v>
      </x:c>
      <x:c r="C14" s="27" t="str">
        <x:v>ClaimCenter</x:v>
      </x:c>
      <x:c r="D14" s="27" t="str">
        <x:v>vw_claimcenter_current_ccx_cda_cmf_message_ext_cda</x:v>
      </x:c>
      <x:c r="E14" s="27" t="str">
        <x:v>accidenttime</x:v>
      </x:c>
      <x:c r="F14" s="27" t="str">
        <x:v>Datatype/value representation difference identified.</x:v>
      </x:c>
      <x:c r="G14" s="27" t="str">
        <x:v>Closed</x:v>
      </x:c>
      <x:c r="H14" s="27" t="str">
        <x:v>Accepted / Deprioritised</x:v>
      </x:c>
      <x:c r="I14" s="27" t="str">
        <x:v>accidenttime is no longer used in downstream processes and can be deprioritised.</x:v>
      </x:c>
      <x:c r="J14" s="27" t="str">
        <x:v>Datatype Issue</x:v>
      </x:c>
      <x:c r="K14" s="27" t="str">
        <x:v>No</x:v>
      </x:c>
    </x:row>
    <x:row r="15">
      <x:c r="A15" s="27" t="n">
        <x:v>14</x:v>
      </x:c>
      <x:c r="B15" s="27" t="str">
        <x:v>Delete behaviour difference</x:v>
      </x:c>
      <x:c r="C15" s="27" t="str">
        <x:v>ClaimCenter</x:v>
      </x:c>
      <x:c r="D15" s="27" t="str">
        <x:v>vw_claimcenter_current_cc_history</x:v>
      </x:c>
      <x:c r="E15" s="27" t="str">
        <x:v>ID / DWH_CURRENT_FLAG / view membership</x:v>
      </x:c>
      <x:c r="F15" s="27" t="str">
        <x:v>RR contains IDs 144107 and 144108; CDA current view does not because CDA received explicit deletes.</x:v>
      </x:c>
      <x:c r="G15" s="27" t="str">
        <x:v>Closed</x:v>
      </x:c>
      <x:c r="H15" s="27" t="str">
        <x:v>Design Confirmation Required</x:v>
      </x:c>
      <x:c r="I15" s="27" t="str">
        <x:v>Source confirms records deleted. Need downstream/design confirmation for behaviour difference.</x:v>
      </x:c>
      <x:c r="J15" s="27" t="str">
        <x:v>Delete scenario behaviour</x:v>
      </x:c>
      <x:c r="K15" s="27" t="str">
        <x:v>Yes</x:v>
      </x:c>
    </x:row>
    <x:row r="16">
      <x:c r="A16" s="27" t="n">
        <x:v>15</x:v>
      </x:c>
      <x:c r="B16" s="27" t="str">
        <x:v>Count / Filter logic difference</x:v>
      </x:c>
      <x:c r="C16" s="27" t="str">
        <x:v>PolicyCenter</x:v>
      </x:c>
      <x:c r="D16" s="27" t="str">
        <x:v>vw_policycenter_current_pcx_ratingfactoreffdated_ext_cda</x:v>
      </x:c>
      <x:c r="E16" s="27" t="str">
        <x:v>FACTORKKEY</x:v>
      </x:c>
      <x:c r="F16" s="27" t="str">
        <x:v>Count mismatch caused by filter/case condition.</x:v>
      </x:c>
      <x:c r="G16" s="27" t="str">
        <x:v>Closed</x:v>
      </x:c>
      <x:c r="H16" s="27" t="str">
        <x:v>Closed</x:v>
      </x:c>
      <x:c r="I16" s="27" t="str">
        <x:v>Using UPPER(CDA.FACTORKKEY) = 'FULLCAISDATAUSED' aligns CDA count with RR.</x:v>
      </x:c>
      <x:c r="J16" s="27" t="str">
        <x:v>Count issue</x:v>
      </x:c>
      <x:c r="K16" s="27" t="str">
        <x:v>No</x:v>
      </x:c>
    </x:row>
    <x:row r="17">
      <x:c r="A17" s="27" t="n">
        <x:v>16</x:v>
      </x:c>
      <x:c r="B17" s="27" t="str">
        <x:v>RR / Source synchronisation</x:v>
      </x:c>
      <x:c r="C17" s="27" t="str">
        <x:v>ClaimCenter / PolicyCenter / BillingCenter</x:v>
      </x:c>
      <x:c r="D17" s="27" t="str">
        <x:v>vw_claimcenter_current_cc_history_cda; bc_history; pc_history</x:v>
      </x:c>
      <x:c r="E17" s="27" t="str"/>
      <x:c r="F17" s="27" t="str">
        <x:v>Cross-domain current-history differences require manual review.</x:v>
      </x:c>
      <x:c r="G17" s="27" t="str">
        <x:v>Manual Review</x:v>
      </x:c>
      <x:c r="H17" s="27" t="str">
        <x:v>Open - RR investigation</x:v>
      </x:c>
      <x:c r="I17" s="27" t="str">
        <x:v>CDA is in sync with GW systems. RR needs investigation/fix.</x:v>
      </x:c>
      <x:c r="J17" s="27" t="str">
        <x:v>Sync up Issue</x:v>
      </x:c>
      <x:c r="K17" s="27" t="str">
        <x:v>Yes</x:v>
      </x:c>
    </x:row>
    <x:row r="18">
      <x:c r="A18" s="27" t="n">
        <x:v>17</x:v>
      </x:c>
      <x:c r="B18" s="27" t="str">
        <x:v>RR / Source synchronisation</x:v>
      </x:c>
      <x:c r="C18" s="27" t="str">
        <x:v>ClaimCenter</x:v>
      </x:c>
      <x:c r="D18" s="27" t="str">
        <x:v>vw_claimcenter_current_cc_claiminfo_cda</x:v>
      </x:c>
      <x:c r="E18" s="27" t="str"/>
      <x:c r="F18" s="27" t="str">
        <x:v>RR vs CDA population/content difference.</x:v>
      </x:c>
      <x:c r="G18" s="27" t="str">
        <x:v>Manual Review</x:v>
      </x:c>
      <x:c r="H18" s="27" t="str">
        <x:v>Open - RR investigation</x:v>
      </x:c>
      <x:c r="I18" s="27" t="str">
        <x:v>CDA is in sync with GW systems. RR needs investigation/fix.</x:v>
      </x:c>
      <x:c r="J18" s="27" t="str">
        <x:v>Sync up Issue</x:v>
      </x:c>
      <x:c r="K18" s="27" t="str">
        <x:v>Yes</x:v>
      </x:c>
    </x:row>
    <x:row r="19">
      <x:c r="A19" s="27" t="n">
        <x:v>18</x:v>
      </x:c>
      <x:c r="B19" s="27" t="str">
        <x:v>Count / Population difference</x:v>
      </x:c>
      <x:c r="C19" s="27" t="str">
        <x:v>ClaimCenter</x:v>
      </x:c>
      <x:c r="D19" s="27" t="str">
        <x:v>vw_claimcenter_current_ccx_analyticshistory_ext_cda</x:v>
      </x:c>
      <x:c r="E19" s="27" t="str"/>
      <x:c r="F19" s="27" t="str">
        <x:v>Count issue remains under investigation.</x:v>
      </x:c>
      <x:c r="G19" s="27" t="str">
        <x:v>Manual Review</x:v>
      </x:c>
      <x:c r="H19" s="27" t="str">
        <x:v>Under Investigation</x:v>
      </x:c>
      <x:c r="I19" s="27" t="str">
        <x:v>Running goal-post / verify count against front-end/source system.</x:v>
      </x:c>
      <x:c r="J19" s="27" t="str">
        <x:v>Sync up Issue</x:v>
      </x:c>
      <x:c r="K19" s="27" t="str">
        <x:v>Yes</x:v>
      </x:c>
    </x:row>
    <x:row r="20">
      <x:c r="A20" s="27" t="n">
        <x:v>19</x:v>
      </x:c>
      <x:c r="B20" s="27" t="str">
        <x:v>Schema drift / Baseline difference</x:v>
      </x:c>
      <x:c r="C20" s="27" t="str">
        <x:v>ClaimCenter</x:v>
      </x:c>
      <x:c r="D20" s="27" t="str">
        <x:v>vw_claimcenter_current_cc_claim_cda</x:v>
      </x:c>
      <x:c r="E20" s="27" t="str">
        <x:v>Schema</x:v>
      </x:c>
      <x:c r="F20" s="27" t="str">
        <x:v>CDA schema is up to date with GW; RR comparison schema may be stale.</x:v>
      </x:c>
      <x:c r="G20" s="27" t="str">
        <x:v>Manual Review</x:v>
      </x:c>
      <x:c r="H20" s="27" t="str">
        <x:v>Design Confirmation Required</x:v>
      </x:c>
      <x:c r="I20" s="27" t="str">
        <x:v>Confirm whether RR schema needs refresh for comparison and agree reconciliation baseline.</x:v>
      </x:c>
      <x:c r="J20" s="27" t="str">
        <x:v>Schema drift</x:v>
      </x:c>
      <x:c r="K20" s="27" t="str">
        <x:v>Yes</x:v>
      </x:c>
    </x:row>
  </x:sheetData>
  <x:conditionalFormatting sqref="G2:H20">
    <x:cfRule type="expression" dxfId="1" priority="1">
      <x:formula>ISNUMBER(SEARCH("Closed",G2))</x:formula>
    </x:cfRule>
  </x:conditionalFormatting>
  <x:conditionalFormatting sqref="H2:H20">
    <x:cfRule type="expression" dxfId="6" priority="2">
      <x:formula>ISNUMBER(SEARCH("Design",H2))</x:formula>
    </x:cfRule>
    <x:cfRule type="expression" dxfId="7" priority="3">
      <x:formula>ISNUMBER(SEARCH("Partially",H2))</x:formula>
    </x:cfRule>
    <x:cfRule type="expression" dxfId="8" priority="4">
      <x:formula>OR(ISNUMBER(SEARCH("Open",H2)),ISNUMBER(SEARCH("Investigation",H2)))</x:formula>
    </x:cfRule>
  </x:conditionalFormatting>
  <x:conditionalFormatting sqref="K2:K20">
    <x:cfRule type="expression" dxfId="9" priority="5">
      <x:formula>K2="Yes"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f6c5e59df948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6" hidden="0" customWidth="1"/>
    <x:col min="4" max="4" width="34" hidden="0" customWidth="1"/>
    <x:col min="5" max="5" width="20" hidden="0" customWidth="1"/>
    <x:col min="6" max="6" width="28" hidden="0" customWidth="1"/>
    <x:col min="7" max="7" width="15" hidden="0" customWidth="1"/>
    <x:col min="8" max="8" width="12" hidden="0" customWidth="1"/>
  </x:cols>
  <x:sheetData>
    <x:row r="1">
      <x:c r="A1" s="32" t="str">
        <x:v>Root Cause Category</x:v>
      </x:c>
      <x:c r="B1" s="32" t="str">
        <x:v>Domain</x:v>
      </x:c>
      <x:c r="C1" s="32" t="str">
        <x:v>Impacted Table / View</x:v>
      </x:c>
      <x:c r="D1" s="32" t="str">
        <x:v>Impacted Column(s)</x:v>
      </x:c>
      <x:c r="E1" s="32" t="str">
        <x:v>Observation Status</x:v>
      </x:c>
      <x:c r="F1" s="32" t="str">
        <x:v>Root Cause Status</x:v>
      </x:c>
      <x:c r="G1" s="32" t="str">
        <x:v>Action Required</x:v>
      </x:c>
      <x:c r="H1" s="32" t="str">
        <x:v>Source Issue No</x:v>
      </x:c>
    </x:row>
    <x:row r="2">
      <x:c r="A2" s="27" t="str">
        <x:v>Datatype / Boolean representation</x:v>
      </x:c>
      <x:c r="B2" s="27" t="str">
        <x:v>ClaimCenter</x:v>
      </x:c>
      <x:c r="C2" s="27" t="str">
        <x:v>vw_claimcenter_current_ccx_analyticshistory_ext_cda</x:v>
      </x:c>
      <x:c r="D2" s="27" t="str">
        <x:v>ratingoverridden, beanversion</x:v>
      </x:c>
      <x:c r="E2" s="27" t="str">
        <x:v>Closed</x:v>
      </x:c>
      <x:c r="F2" s="27" t="str">
        <x:v>Accepted / Closed</x:v>
      </x:c>
      <x:c r="G2" s="27" t="str">
        <x:v>No</x:v>
      </x:c>
      <x:c r="H2" s="27" t="n">
        <x:v>1</x:v>
      </x:c>
    </x:row>
    <x:row r="3">
      <x:c r="A3" s="27" t="str">
        <x:v>RR / Source synchronisation</x:v>
      </x:c>
      <x:c r="B3" s="27" t="str">
        <x:v>ClaimCenter</x:v>
      </x:c>
      <x:c r="C3" s="27" t="str">
        <x:v>vw_claimcenter_current_ccx_modulespecificdata_ext</x:v>
      </x:c>
      <x:c r="D3" s="27" t="str"/>
      <x:c r="E3" s="27" t="str">
        <x:v>Manual Review</x:v>
      </x:c>
      <x:c r="F3" s="27" t="str">
        <x:v>Open - RR investigation</x:v>
      </x:c>
      <x:c r="G3" s="27" t="str">
        <x:v>Yes</x:v>
      </x:c>
      <x:c r="H3" s="27" t="n">
        <x:v>2</x:v>
      </x:c>
    </x:row>
    <x:row r="4">
      <x:c r="A4" s="27" t="str">
        <x:v>Payload / Debris value handling</x:v>
      </x:c>
      <x:c r="B4" s="27" t="str">
        <x:v>PolicyCenter</x:v>
      </x:c>
      <x:c r="C4" s="27" t="str">
        <x:v>vw_policycenter_current_pcx_cfmdocumentrequest_ext</x:v>
      </x:c>
      <x:c r="D4" s="27" t="str">
        <x:v>cfmrequestpayload</x:v>
      </x:c>
      <x:c r="E4" s="27" t="str">
        <x:v>Closed</x:v>
      </x:c>
      <x:c r="F4" s="27" t="str">
        <x:v>Partially Fixed</x:v>
      </x:c>
      <x:c r="G4" s="27" t="str">
        <x:v>Yes</x:v>
      </x:c>
      <x:c r="H4" s="27" t="n">
        <x:v>3</x:v>
      </x:c>
    </x:row>
    <x:row r="5">
      <x:c r="A5" s="27" t="str">
        <x:v>Payload / Debris value handling</x:v>
      </x:c>
      <x:c r="B5" s="27" t="str">
        <x:v>PolicyCenter</x:v>
      </x:c>
      <x:c r="C5" s="27" t="str">
        <x:v>vw_policycenter_current_pc_policyperiod_cda</x:v>
      </x:c>
      <x:c r="D5" s="27" t="str">
        <x:v>paymentoptions_ext</x:v>
      </x:c>
      <x:c r="E5" s="27" t="str">
        <x:v>Closed</x:v>
      </x:c>
      <x:c r="F5" s="27" t="str">
        <x:v>Partially Fixed</x:v>
      </x:c>
      <x:c r="G5" s="27" t="str">
        <x:v>Yes</x:v>
      </x:c>
      <x:c r="H5" s="27" t="n">
        <x:v>4</x:v>
      </x:c>
    </x:row>
    <x:row r="6">
      <x:c r="A6" s="27" t="str">
        <x:v>Payload / Debris value handling</x:v>
      </x:c>
      <x:c r="B6" s="27" t="str">
        <x:v>PolicyCenter</x:v>
      </x:c>
      <x:c r="C6" s="27" t="str">
        <x:v>vw_policycenter_current_pc_policyperiod_cda</x:v>
      </x:c>
      <x:c r="D6" s="27" t="str">
        <x:v>instalmentplansxml_ext</x:v>
      </x:c>
      <x:c r="E6" s="27" t="str">
        <x:v>Open / Follow-up</x:v>
      </x:c>
      <x:c r="F6" s="27" t="str">
        <x:v>Partially Fixed</x:v>
      </x:c>
      <x:c r="G6" s="27" t="str">
        <x:v>Yes</x:v>
      </x:c>
      <x:c r="H6" s="27" t="n">
        <x:v>5</x:v>
      </x:c>
    </x:row>
    <x:row r="7">
      <x:c r="A7" s="27" t="str">
        <x:v>Payload / Debris value handling</x:v>
      </x:c>
      <x:c r="B7" s="27" t="str">
        <x:v>ClaimCenter</x:v>
      </x:c>
      <x:c r="C7" s="27" t="str">
        <x:v>vw_claimcenter_current_ccx_inbounddatasourcerec_ext_cda</x:v>
      </x:c>
      <x:c r="D7" s="27" t="str">
        <x:v>payload</x:v>
      </x:c>
      <x:c r="E7" s="27" t="str">
        <x:v>Closed</x:v>
      </x:c>
      <x:c r="F7" s="27" t="str">
        <x:v>Partially Fixed</x:v>
      </x:c>
      <x:c r="G7" s="27" t="str">
        <x:v>Yes</x:v>
      </x:c>
      <x:c r="H7" s="27" t="n">
        <x:v>6</x:v>
      </x:c>
    </x:row>
    <x:row r="8">
      <x:c r="A8" s="27" t="str">
        <x:v>Payload / Debris value handling</x:v>
      </x:c>
      <x:c r="B8" s="27" t="str">
        <x:v>ClaimCenter</x:v>
      </x:c>
      <x:c r="C8" s="27" t="str">
        <x:v>vw_claimcenter_current_ccx_notrequest_ext_cda</x:v>
      </x:c>
      <x:c r="D8" s="27" t="str">
        <x:v>payload</x:v>
      </x:c>
      <x:c r="E8" s="27" t="str">
        <x:v>Closed</x:v>
      </x:c>
      <x:c r="F8" s="27" t="str">
        <x:v>Partially Fixed</x:v>
      </x:c>
      <x:c r="G8" s="27" t="str">
        <x:v>Yes</x:v>
      </x:c>
      <x:c r="H8" s="27" t="n">
        <x:v>7</x:v>
      </x:c>
    </x:row>
    <x:row r="9">
      <x:c r="A9" s="27" t="str">
        <x:v>RR / Source synchronisation</x:v>
      </x:c>
      <x:c r="B9" s="27" t="str">
        <x:v>ClaimCenter</x:v>
      </x:c>
      <x:c r="C9" s="27" t="str">
        <x:v>vw_claimcenter_current_cc_claimmetricrecalctime_cda</x:v>
      </x:c>
      <x:c r="D9" s="27" t="str"/>
      <x:c r="E9" s="27" t="str">
        <x:v>Manual Review</x:v>
      </x:c>
      <x:c r="F9" s="27" t="str">
        <x:v>Open - RR investigation</x:v>
      </x:c>
      <x:c r="G9" s="27" t="str">
        <x:v>Yes</x:v>
      </x:c>
      <x:c r="H9" s="27" t="n">
        <x:v>8</x:v>
      </x:c>
    </x:row>
    <x:row r="10">
      <x:c r="A10" s="27" t="str">
        <x:v>Load / Refresh synchronisation</x:v>
      </x:c>
      <x:c r="B10" s="27" t="str">
        <x:v>ClaimCenter</x:v>
      </x:c>
      <x:c r="C10" s="27" t="str">
        <x:v>vw_claimcenter_current_cc_claim</x:v>
      </x:c>
      <x:c r="D10" s="27" t="str"/>
      <x:c r="E10" s="27" t="str">
        <x:v>Closed</x:v>
      </x:c>
      <x:c r="F10" s="27" t="str">
        <x:v>Closed</x:v>
      </x:c>
      <x:c r="G10" s="27" t="str">
        <x:v>No</x:v>
      </x:c>
      <x:c r="H10" s="27" t="n">
        <x:v>9</x:v>
      </x:c>
    </x:row>
    <x:row r="11">
      <x:c r="A11" s="27" t="str">
        <x:v>Count / Population difference</x:v>
      </x:c>
      <x:c r="B11" s="27" t="str">
        <x:v>PolicyCenter</x:v>
      </x:c>
      <x:c r="C11" s="27" t="str">
        <x:v>vw_policycenter_current_pc_history</x:v>
      </x:c>
      <x:c r="D11" s="27" t="str"/>
      <x:c r="E11" s="27" t="str">
        <x:v>Closed</x:v>
      </x:c>
      <x:c r="F11" s="27" t="str">
        <x:v>Monitor / Accepted tolerance</x:v>
      </x:c>
      <x:c r="G11" s="27" t="str">
        <x:v>No</x:v>
      </x:c>
      <x:c r="H11" s="27" t="n">
        <x:v>10</x:v>
      </x:c>
    </x:row>
    <x:row r="12">
      <x:c r="A12" s="27" t="str">
        <x:v>Count / Population difference</x:v>
      </x:c>
      <x:c r="B12" s="27" t="str">
        <x:v>BillingCenter</x:v>
      </x:c>
      <x:c r="C12" s="27" t="str">
        <x:v>vw_billingcenter_current_bc_history</x:v>
      </x:c>
      <x:c r="D12" s="27" t="str"/>
      <x:c r="E12" s="27" t="str">
        <x:v>Closed</x:v>
      </x:c>
      <x:c r="F12" s="27" t="str">
        <x:v>Monitor / Accepted tolerance</x:v>
      </x:c>
      <x:c r="G12" s="27" t="str">
        <x:v>No</x:v>
      </x:c>
      <x:c r="H12" s="27" t="n">
        <x:v>11</x:v>
      </x:c>
    </x:row>
    <x:row r="13">
      <x:c r="A13" s="27" t="str">
        <x:v>Spatial / Datatype representation</x:v>
      </x:c>
      <x:c r="B13" s="27" t="str">
        <x:v>PolicyCenter / BillingCenter / ClaimCenter</x:v>
      </x:c>
      <x:c r="C13" s="27" t="str">
        <x:v>vw_*_current_*_address</x:v>
      </x:c>
      <x:c r="D13" s="27" t="str">
        <x:v>Spatial column(s)</x:v>
      </x:c>
      <x:c r="E13" s="27" t="str">
        <x:v>Closed</x:v>
      </x:c>
      <x:c r="F13" s="27" t="str">
        <x:v>Accepted / Deprioritised</x:v>
      </x:c>
      <x:c r="G13" s="27" t="str">
        <x:v>No</x:v>
      </x:c>
      <x:c r="H13" s="27" t="n">
        <x:v>12</x:v>
      </x:c>
    </x:row>
    <x:row r="14">
      <x:c r="A14" s="27" t="str">
        <x:v>Datatype / Downstream-unused field</x:v>
      </x:c>
      <x:c r="B14" s="27" t="str">
        <x:v>ClaimCenter</x:v>
      </x:c>
      <x:c r="C14" s="27" t="str">
        <x:v>vw_claimcenter_current_ccx_cda_cmf_message_ext_cda</x:v>
      </x:c>
      <x:c r="D14" s="27" t="str">
        <x:v>accidenttime</x:v>
      </x:c>
      <x:c r="E14" s="27" t="str">
        <x:v>Closed</x:v>
      </x:c>
      <x:c r="F14" s="27" t="str">
        <x:v>Accepted / Deprioritised</x:v>
      </x:c>
      <x:c r="G14" s="27" t="str">
        <x:v>No</x:v>
      </x:c>
      <x:c r="H14" s="27" t="n">
        <x:v>13</x:v>
      </x:c>
    </x:row>
    <x:row r="15">
      <x:c r="A15" s="27" t="str">
        <x:v>Delete behaviour difference</x:v>
      </x:c>
      <x:c r="B15" s="27" t="str">
        <x:v>ClaimCenter</x:v>
      </x:c>
      <x:c r="C15" s="27" t="str">
        <x:v>vw_claimcenter_current_cc_history</x:v>
      </x:c>
      <x:c r="D15" s="27" t="str">
        <x:v>ID / DWH_CURRENT_FLAG / view membership</x:v>
      </x:c>
      <x:c r="E15" s="27" t="str">
        <x:v>Closed</x:v>
      </x:c>
      <x:c r="F15" s="27" t="str">
        <x:v>Design Confirmation Required</x:v>
      </x:c>
      <x:c r="G15" s="27" t="str">
        <x:v>Yes</x:v>
      </x:c>
      <x:c r="H15" s="27" t="n">
        <x:v>14</x:v>
      </x:c>
    </x:row>
    <x:row r="16">
      <x:c r="A16" s="27" t="str">
        <x:v>Count / Filter logic difference</x:v>
      </x:c>
      <x:c r="B16" s="27" t="str">
        <x:v>PolicyCenter</x:v>
      </x:c>
      <x:c r="C16" s="27" t="str">
        <x:v>vw_policycenter_current_pcx_ratingfactoreffdated_ext_cda</x:v>
      </x:c>
      <x:c r="D16" s="27" t="str">
        <x:v>FACTORKKEY</x:v>
      </x:c>
      <x:c r="E16" s="27" t="str">
        <x:v>Closed</x:v>
      </x:c>
      <x:c r="F16" s="27" t="str">
        <x:v>Closed</x:v>
      </x:c>
      <x:c r="G16" s="27" t="str">
        <x:v>No</x:v>
      </x:c>
      <x:c r="H16" s="27" t="n">
        <x:v>15</x:v>
      </x:c>
    </x:row>
    <x:row r="17">
      <x:c r="A17" s="27" t="str">
        <x:v>RR / Source synchronisation</x:v>
      </x:c>
      <x:c r="B17" s="27" t="str">
        <x:v>ClaimCenter / PolicyCenter / BillingCenter</x:v>
      </x:c>
      <x:c r="C17" s="27" t="str">
        <x:v>vw_claimcenter_current_cc_history_cda; bc_history; pc_history</x:v>
      </x:c>
      <x:c r="D17" s="27" t="str"/>
      <x:c r="E17" s="27" t="str">
        <x:v>Manual Review</x:v>
      </x:c>
      <x:c r="F17" s="27" t="str">
        <x:v>Open - RR investigation</x:v>
      </x:c>
      <x:c r="G17" s="27" t="str">
        <x:v>Yes</x:v>
      </x:c>
      <x:c r="H17" s="27" t="n">
        <x:v>16</x:v>
      </x:c>
    </x:row>
    <x:row r="18">
      <x:c r="A18" s="27" t="str">
        <x:v>RR / Source synchronisation</x:v>
      </x:c>
      <x:c r="B18" s="27" t="str">
        <x:v>ClaimCenter</x:v>
      </x:c>
      <x:c r="C18" s="27" t="str">
        <x:v>vw_claimcenter_current_cc_claiminfo_cda</x:v>
      </x:c>
      <x:c r="D18" s="27" t="str"/>
      <x:c r="E18" s="27" t="str">
        <x:v>Manual Review</x:v>
      </x:c>
      <x:c r="F18" s="27" t="str">
        <x:v>Open - RR investigation</x:v>
      </x:c>
      <x:c r="G18" s="27" t="str">
        <x:v>Yes</x:v>
      </x:c>
      <x:c r="H18" s="27" t="n">
        <x:v>17</x:v>
      </x:c>
    </x:row>
    <x:row r="19">
      <x:c r="A19" s="27" t="str">
        <x:v>Count / Population difference</x:v>
      </x:c>
      <x:c r="B19" s="27" t="str">
        <x:v>ClaimCenter</x:v>
      </x:c>
      <x:c r="C19" s="27" t="str">
        <x:v>vw_claimcenter_current_ccx_analyticshistory_ext_cda</x:v>
      </x:c>
      <x:c r="D19" s="27" t="str"/>
      <x:c r="E19" s="27" t="str">
        <x:v>Manual Review</x:v>
      </x:c>
      <x:c r="F19" s="27" t="str">
        <x:v>Under Investigation</x:v>
      </x:c>
      <x:c r="G19" s="27" t="str">
        <x:v>Yes</x:v>
      </x:c>
      <x:c r="H19" s="27" t="n">
        <x:v>18</x:v>
      </x:c>
    </x:row>
    <x:row r="20">
      <x:c r="A20" s="27" t="str">
        <x:v>Schema drift / Baseline difference</x:v>
      </x:c>
      <x:c r="B20" s="27" t="str">
        <x:v>ClaimCenter</x:v>
      </x:c>
      <x:c r="C20" s="27" t="str">
        <x:v>vw_claimcenter_current_cc_claim_cda</x:v>
      </x:c>
      <x:c r="D20" s="27" t="str">
        <x:v>Schema</x:v>
      </x:c>
      <x:c r="E20" s="27" t="str">
        <x:v>Manual Review</x:v>
      </x:c>
      <x:c r="F20" s="27" t="str">
        <x:v>Design Confirmation Required</x:v>
      </x:c>
      <x:c r="G20" s="27" t="str">
        <x:v>Yes</x:v>
      </x:c>
      <x:c r="H20" s="27" t="n">
        <x:v>19</x:v>
      </x:c>
    </x:row>
  </x:sheetData>
  <x:conditionalFormatting sqref="E2:F20">
    <x:cfRule type="expression" dxfId="2" priority="1">
      <x:formula>ISNUMBER(SEARCH("Closed",E2))</x:formula>
    </x:cfRule>
  </x:conditionalFormatting>
  <x:conditionalFormatting sqref="F2:F20">
    <x:cfRule type="expression" dxfId="10" priority="2">
      <x:formula>ISNUMBER(SEARCH("Design",F2))</x:formula>
    </x:cfRule>
    <x:cfRule type="expression" dxfId="11" priority="3">
      <x:formula>ISNUMBER(SEARCH("Partially",F2))</x:formula>
    </x:cfRule>
  </x:conditionalFormatting>
  <x:conditionalFormatting sqref="G2:G20">
    <x:cfRule type="expression" dxfId="12" priority="4">
      <x:formula>G2="Yes"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099d41a9c2246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8" hidden="0" customWidth="1"/>
    <x:col min="4" max="4" width="34" hidden="0" customWidth="1"/>
    <x:col min="5" max="5" width="50" hidden="0" customWidth="1"/>
    <x:col min="6" max="6" width="24" hidden="0" customWidth="1"/>
  </x:cols>
  <x:sheetData>
    <x:row r="1">
      <x:c r="A1" s="22" t="str">
        <x:v>Recommended Project Reporting Model</x:v>
      </x:c>
      <x:c r="B1" s="22"/>
      <x:c r="C1" s="22"/>
      <x:c r="D1" s="22"/>
      <x:c r="E1" s="22"/>
      <x:c r="F1" s="22"/>
    </x:row>
    <x:row r="3">
      <x:c r="A3" s="32" t="str">
        <x:v>Reporting Level</x:v>
      </x:c>
      <x:c r="B3" s="32" t="str">
        <x:v>Purpose</x:v>
      </x:c>
      <x:c r="C3" s="32" t="str">
        <x:v>When to Close</x:v>
      </x:c>
      <x:c r="D3" s="32" t="str">
        <x:v>Example</x:v>
      </x:c>
      <x:c r="E3" s="32" t="str">
        <x:v>Project Message</x:v>
      </x:c>
      <x:c r="F3" s="32" t="str">
        <x:v>Owner / Decision</x:v>
      </x:c>
    </x:row>
    <x:row r="4">
      <x:c r="A4" s="27" t="str">
        <x:v>Observation</x:v>
      </x:c>
      <x:c r="B4" s="27" t="str">
        <x:v>One table/column instance</x:v>
      </x:c>
      <x:c r="C4" s="27" t="str">
        <x:v>When that exact instance passes retest</x:v>
      </x:c>
      <x:c r="D4" s="27" t="str">
        <x:v>paymentoptions_ext fixed</x:v>
      </x:c>
      <x:c r="E4" s="27" t="str">
        <x:v>Individual observation fixed; root cause may remain open.</x:v>
      </x:c>
      <x:c r="F4" s="27" t="str">
        <x:v>Test / Dev</x:v>
      </x:c>
    </x:row>
    <x:row r="5">
      <x:c r="A5" s="27" t="str">
        <x:v>Root Cause</x:v>
      </x:c>
      <x:c r="B5" s="27" t="str">
        <x:v>Common technical/behavioural pattern across observations</x:v>
      </x:c>
      <x:c r="C5" s="27" t="str">
        <x:v>Only when fix/acceptance covers all known impacted population</x:v>
      </x:c>
      <x:c r="D5" s="27" t="str">
        <x:v>Payload/debris value handling</x:v>
      </x:c>
      <x:c r="E5" s="27" t="str">
        <x:v>Some columns fixed; root cause remains partially fixed until generic coverage proven.</x:v>
      </x:c>
      <x:c r="F5" s="27" t="str">
        <x:v>Dev / Architecture</x:v>
      </x:c>
    </x:row>
    <x:row r="6">
      <x:c r="A6" s="27" t="str">
        <x:v>Design Difference</x:v>
      </x:c>
      <x:c r="B6" s="27" t="str">
        <x:v>Behaviour differs by architecture rather than a simple defect</x:v>
      </x:c>
      <x:c r="C6" s="27" t="str">
        <x:v>After design/downstream sign-off</x:v>
      </x:c>
      <x:c r="D6" s="27" t="str">
        <x:v>RR vs CDA delete handling</x:v>
      </x:c>
      <x:c r="E6" s="27" t="str">
        <x:v>Confirm DWH_CURRENT_FLAG, current-view visibility and reconciliation classification.</x:v>
      </x:c>
      <x:c r="F6" s="27" t="str">
        <x:v>Architecture / Downstream</x:v>
      </x:c>
    </x:row>
    <x:row r="7">
      <x:c r="A7" s="27" t="str">
        <x:v>Accepted Difference</x:v>
      </x:c>
      <x:c r="B7" s="27" t="str">
        <x:v>Difference has no downstream impact</x:v>
      </x:c>
      <x:c r="C7" s="27" t="str">
        <x:v>After downstream owner confirms non-use/acceptance</x:v>
      </x:c>
      <x:c r="D7" s="27" t="str">
        <x:v>Spatial/accidenttime</x:v>
      </x:c>
      <x:c r="E7" s="27" t="str">
        <x:v>Keep evidence of downstream acceptance.</x:v>
      </x:c>
      <x:c r="F7" s="27" t="str">
        <x:v>Downstream Owner</x:v>
      </x:c>
    </x:row>
    <x:row r="8">
      <x:c r="A8" s="27" t="str">
        <x:v>Reconciliation Rule</x:v>
      </x:c>
      <x:c r="B8" s="27" t="str">
        <x:v>Controls false positives in automated comparison</x:v>
      </x:c>
      <x:c r="C8" s="27" t="str">
        <x:v>After design behaviour is approved</x:v>
      </x:c>
      <x:c r="D8" s="27" t="str">
        <x:v>Latest CDA op=1 and RR present / CDA absent</x:v>
      </x:c>
      <x:c r="E8" s="27" t="str">
        <x:v>Classify as expected delete difference, not missing CDA.</x:v>
      </x:c>
      <x:c r="F8" s="27" t="str">
        <x:v>Test / Data Engineering</x:v>
      </x:c>
    </x:row>
    <x:row r="9">
      <x:c r="A9" s="27" t="str">
        <x:v>Baseline Decision</x:v>
      </x:c>
      <x:c r="B9" s="27" t="str">
        <x:v>Defines authoritative comparison source/schema</x:v>
      </x:c>
      <x:c r="C9" s="27" t="str">
        <x:v>After project agrees baseline</x:v>
      </x:c>
      <x:c r="D9" s="27" t="str">
        <x:v>CDA current GW schema vs stale RR schema</x:v>
      </x:c>
      <x:c r="E9" s="27" t="str">
        <x:v>Avoid reporting valid schema evolution as CDA defect.</x:v>
      </x:c>
      <x:c r="F9" s="27" t="str">
        <x:v>Architecture / Data Owner</x:v>
      </x:c>
    </x:row>
  </x:sheetData>
  <x:mergeCells>
    <x:mergeCell ref="A1:F1"/>
  </x:mergeCells>
  <x:pageMargins left="0.7" right="0.7" top="0.75" bottom="0.75" header="0.3" footer="0.3"/>
</x:worksheet>
</file>